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Rafael\Documents\"/>
    </mc:Choice>
  </mc:AlternateContent>
  <bookViews>
    <workbookView xWindow="0" yWindow="0" windowWidth="21600" windowHeight="10050" activeTab="1"/>
  </bookViews>
  <sheets>
    <sheet name="k_means3D" sheetId="1" r:id="rId1"/>
    <sheet name="k_means2D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G2" i="2"/>
  <c r="F3" i="2"/>
  <c r="G3" i="1"/>
  <c r="G3" i="2" l="1"/>
  <c r="K3" i="2" s="1"/>
  <c r="J27" i="2"/>
  <c r="J29" i="2"/>
  <c r="J15" i="2"/>
  <c r="J30" i="2"/>
  <c r="J25" i="2"/>
  <c r="J23" i="2"/>
  <c r="J16" i="2"/>
  <c r="J14" i="2"/>
  <c r="J20" i="2"/>
  <c r="J18" i="2"/>
  <c r="J13" i="2"/>
  <c r="J11" i="2"/>
  <c r="J28" i="2"/>
  <c r="J26" i="2"/>
  <c r="J21" i="2"/>
  <c r="J19" i="2"/>
  <c r="J12" i="2"/>
  <c r="J10" i="2"/>
  <c r="J31" i="2"/>
  <c r="J24" i="2"/>
  <c r="J22" i="2"/>
  <c r="J17" i="2"/>
  <c r="J5" i="2"/>
  <c r="G2" i="1"/>
  <c r="I2" i="1"/>
  <c r="H2" i="1"/>
  <c r="K4" i="1" s="1"/>
  <c r="H3" i="1"/>
  <c r="I3" i="1"/>
  <c r="J2" i="2"/>
  <c r="J7" i="2"/>
  <c r="J3" i="2"/>
  <c r="J4" i="2"/>
  <c r="J6" i="2"/>
  <c r="J8" i="2"/>
  <c r="J9" i="2"/>
  <c r="K4" i="2" l="1"/>
  <c r="L4" i="2" s="1"/>
  <c r="K27" i="2"/>
  <c r="K18" i="2"/>
  <c r="K14" i="2"/>
  <c r="L14" i="2" s="1"/>
  <c r="K23" i="2"/>
  <c r="L23" i="2" s="1"/>
  <c r="K25" i="2"/>
  <c r="L25" i="2" s="1"/>
  <c r="K7" i="2"/>
  <c r="L7" i="2" s="1"/>
  <c r="K5" i="2"/>
  <c r="L5" i="2" s="1"/>
  <c r="K11" i="2"/>
  <c r="L11" i="2" s="1"/>
  <c r="K29" i="2"/>
  <c r="L29" i="2" s="1"/>
  <c r="K22" i="2"/>
  <c r="L22" i="2" s="1"/>
  <c r="K31" i="2"/>
  <c r="L31" i="2" s="1"/>
  <c r="K10" i="2"/>
  <c r="L10" i="2" s="1"/>
  <c r="K2" i="2"/>
  <c r="L2" i="2" s="1"/>
  <c r="K9" i="2"/>
  <c r="L9" i="2" s="1"/>
  <c r="K13" i="2"/>
  <c r="L13" i="2" s="1"/>
  <c r="K17" i="2"/>
  <c r="L17" i="2" s="1"/>
  <c r="K24" i="2"/>
  <c r="L24" i="2" s="1"/>
  <c r="K12" i="2"/>
  <c r="L12" i="2" s="1"/>
  <c r="K21" i="2"/>
  <c r="L21" i="2" s="1"/>
  <c r="K28" i="2"/>
  <c r="L28" i="2" s="1"/>
  <c r="K8" i="2"/>
  <c r="L8" i="2" s="1"/>
  <c r="K6" i="2"/>
  <c r="L6" i="2" s="1"/>
  <c r="K20" i="2"/>
  <c r="L20" i="2" s="1"/>
  <c r="K15" i="2"/>
  <c r="L15" i="2" s="1"/>
  <c r="K16" i="2"/>
  <c r="L16" i="2" s="1"/>
  <c r="K19" i="2"/>
  <c r="L19" i="2" s="1"/>
  <c r="K26" i="2"/>
  <c r="L26" i="2" s="1"/>
  <c r="K30" i="2"/>
  <c r="L30" i="2" s="1"/>
  <c r="L27" i="2"/>
  <c r="L18" i="2"/>
  <c r="K21" i="1"/>
  <c r="L2" i="1"/>
  <c r="K8" i="1"/>
  <c r="K14" i="1"/>
  <c r="K5" i="1"/>
  <c r="K3" i="1"/>
  <c r="K17" i="1"/>
  <c r="L3" i="1"/>
  <c r="L4" i="1"/>
  <c r="M4" i="1" s="1"/>
  <c r="L11" i="1"/>
  <c r="L6" i="1"/>
  <c r="L21" i="1"/>
  <c r="L14" i="1"/>
  <c r="L15" i="1"/>
  <c r="L7" i="1"/>
  <c r="L8" i="1"/>
  <c r="M8" i="1" s="1"/>
  <c r="L5" i="1"/>
  <c r="L18" i="1"/>
  <c r="L12" i="1"/>
  <c r="L19" i="1"/>
  <c r="K18" i="1"/>
  <c r="L9" i="1"/>
  <c r="K15" i="1"/>
  <c r="K11" i="1"/>
  <c r="K19" i="1"/>
  <c r="L13" i="1"/>
  <c r="L16" i="1"/>
  <c r="K16" i="1"/>
  <c r="L20" i="1"/>
  <c r="K12" i="1"/>
  <c r="K7" i="1"/>
  <c r="K2" i="1"/>
  <c r="M2" i="1" s="1"/>
  <c r="K9" i="1"/>
  <c r="K6" i="1"/>
  <c r="L10" i="1"/>
  <c r="L17" i="1"/>
  <c r="M17" i="1" s="1"/>
  <c r="K10" i="1"/>
  <c r="K13" i="1"/>
  <c r="K20" i="1"/>
  <c r="L3" i="2"/>
  <c r="M21" i="1" l="1"/>
  <c r="M12" i="1"/>
  <c r="M14" i="1"/>
  <c r="M5" i="1"/>
  <c r="M10" i="1"/>
  <c r="M19" i="1"/>
  <c r="M9" i="1"/>
  <c r="M3" i="1"/>
  <c r="M16" i="1"/>
  <c r="M6" i="1"/>
  <c r="M20" i="1"/>
  <c r="M11" i="1"/>
  <c r="M18" i="1"/>
  <c r="M15" i="1"/>
  <c r="M7" i="1"/>
  <c r="M13" i="1"/>
  <c r="H6" i="2"/>
  <c r="F5" i="2"/>
  <c r="I6" i="1" l="1"/>
  <c r="G5" i="1"/>
</calcChain>
</file>

<file path=xl/comments1.xml><?xml version="1.0" encoding="utf-8"?>
<comments xmlns="http://schemas.openxmlformats.org/spreadsheetml/2006/main">
  <authors>
    <author>Rafael Monteiro</author>
  </authors>
  <commentList>
    <comment ref="K1" authorId="0" shapeId="0">
      <text>
        <r>
          <rPr>
            <b/>
            <sz val="9"/>
            <color indexed="81"/>
            <rFont val="Segoe UI"/>
            <family val="2"/>
          </rPr>
          <t>Rafael Monteiro:</t>
        </r>
        <r>
          <rPr>
            <sz val="9"/>
            <color indexed="81"/>
            <rFont val="Segoe UI"/>
            <family val="2"/>
          </rPr>
          <t xml:space="preserve">
Distância ao quadrado 
do ponto ao centroide 1</t>
        </r>
      </text>
    </comment>
    <comment ref="L1" authorId="0" shapeId="0">
      <text>
        <r>
          <rPr>
            <b/>
            <sz val="9"/>
            <color indexed="81"/>
            <rFont val="Segoe UI"/>
            <family val="2"/>
          </rPr>
          <t>Rafael Monteiro:</t>
        </r>
        <r>
          <rPr>
            <sz val="9"/>
            <color indexed="81"/>
            <rFont val="Segoe UI"/>
            <family val="2"/>
          </rPr>
          <t xml:space="preserve">
Distância ao quadrado 
do ponto ao centroide 2</t>
        </r>
      </text>
    </comment>
  </commentList>
</comments>
</file>

<file path=xl/comments2.xml><?xml version="1.0" encoding="utf-8"?>
<comments xmlns="http://schemas.openxmlformats.org/spreadsheetml/2006/main">
  <authors>
    <author>Rafael Monteiro</author>
  </authors>
  <commentList>
    <comment ref="J1" authorId="0" shapeId="0">
      <text>
        <r>
          <rPr>
            <b/>
            <sz val="9"/>
            <color indexed="81"/>
            <rFont val="Segoe UI"/>
            <family val="2"/>
          </rPr>
          <t>Rafael Monteiro:</t>
        </r>
        <r>
          <rPr>
            <sz val="9"/>
            <color indexed="81"/>
            <rFont val="Segoe UI"/>
            <family val="2"/>
          </rPr>
          <t xml:space="preserve">
Distância ao quadrado 
do ponto ao centroide 1</t>
        </r>
      </text>
    </comment>
    <comment ref="K1" authorId="0" shapeId="0">
      <text>
        <r>
          <rPr>
            <b/>
            <sz val="9"/>
            <color indexed="81"/>
            <rFont val="Segoe UI"/>
            <family val="2"/>
          </rPr>
          <t>Rafael Monteiro:</t>
        </r>
        <r>
          <rPr>
            <sz val="9"/>
            <color indexed="81"/>
            <rFont val="Segoe UI"/>
            <family val="2"/>
          </rPr>
          <t xml:space="preserve">
Distância ao quadrado 
do ponto ao centroide 2</t>
        </r>
      </text>
    </comment>
  </commentList>
</comments>
</file>

<file path=xl/sharedStrings.xml><?xml version="1.0" encoding="utf-8"?>
<sst xmlns="http://schemas.openxmlformats.org/spreadsheetml/2006/main" count="88" uniqueCount="14">
  <si>
    <t>X</t>
  </si>
  <si>
    <t>Y</t>
  </si>
  <si>
    <t>Z</t>
  </si>
  <si>
    <t>CLUSTER</t>
  </si>
  <si>
    <t>CENTROIDE 1</t>
  </si>
  <si>
    <t>CENTROIDE 2</t>
  </si>
  <si>
    <t>D_SQRT_C1</t>
  </si>
  <si>
    <t>D_SQRT_C2</t>
  </si>
  <si>
    <t>Closer_Custler</t>
  </si>
  <si>
    <t>SSE</t>
  </si>
  <si>
    <t>VERIFICAÇÃO DA CONVERGÊNCIA</t>
  </si>
  <si>
    <t>CLUSTER 1</t>
  </si>
  <si>
    <t>CLUSTER 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</si>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</sst>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2" fillId="2" borderId="0" xfId="0" applyFont="1" applyFill="1" applyAlignment="1"/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 Dinamico</a:t>
            </a:r>
            <a:r>
              <a:rPr lang="pt-BR" baseline="0"/>
              <a:t> k-means 2D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k_means2D!$N$1</c:f>
              <c:strCache>
                <c:ptCount val="1"/>
                <c:pt idx="0">
                  <c:v>CLUSTER 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k_means2D!$N$2:$N$12</c:f>
              <c:numCache>
                <c:formatCode>General</c:formatCode>
                <c:ptCount val="11"/>
                <c:pt idx="0">
                  <c:v>0.62087633471196169</c:v>
                </c:pt>
                <c:pt idx="1">
                  <c:v>0.81134364786480395</c:v>
                </c:pt>
                <c:pt idx="2">
                  <c:v>4.6333412748329135</c:v>
                </c:pt>
                <c:pt idx="3">
                  <c:v>6.6429942496529453</c:v>
                </c:pt>
                <c:pt idx="4">
                  <c:v>8.5041115019460989</c:v>
                </c:pt>
                <c:pt idx="5">
                  <c:v>10.695006388202676</c:v>
                </c:pt>
                <c:pt idx="6">
                  <c:v>37.033630344383226</c:v>
                </c:pt>
                <c:pt idx="7">
                  <c:v>37.778058133387361</c:v>
                </c:pt>
                <c:pt idx="8">
                  <c:v>52.341999221087264</c:v>
                </c:pt>
                <c:pt idx="9">
                  <c:v>56.478300611644372</c:v>
                </c:pt>
                <c:pt idx="10">
                  <c:v>79.735211577805345</c:v>
                </c:pt>
              </c:numCache>
            </c:numRef>
          </c:xVal>
          <c:yVal>
            <c:numRef>
              <c:f>k_means2D!$O$2:$O$12</c:f>
              <c:numCache>
                <c:formatCode>General</c:formatCode>
                <c:ptCount val="11"/>
                <c:pt idx="0">
                  <c:v>28.924591313129831</c:v>
                </c:pt>
                <c:pt idx="1">
                  <c:v>46.384289119077948</c:v>
                </c:pt>
                <c:pt idx="2">
                  <c:v>0.4820921221168728</c:v>
                </c:pt>
                <c:pt idx="3">
                  <c:v>18.960574051521629</c:v>
                </c:pt>
                <c:pt idx="4">
                  <c:v>32.802478486586459</c:v>
                </c:pt>
                <c:pt idx="5">
                  <c:v>31.863525300717054</c:v>
                </c:pt>
                <c:pt idx="6">
                  <c:v>25.006962791071995</c:v>
                </c:pt>
                <c:pt idx="7">
                  <c:v>51.154104878220238</c:v>
                </c:pt>
                <c:pt idx="8">
                  <c:v>6.3184630541763713</c:v>
                </c:pt>
                <c:pt idx="9">
                  <c:v>6.4713424785496354</c:v>
                </c:pt>
                <c:pt idx="10">
                  <c:v>8.4209234959771617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57-461F-85C0-965E04A801EF}"/>
            </c:ext>
          </c:extLst>
        </c:ser>
        <c:ser>
          <c:idx val="2"/>
          <c:order val="1"/>
          <c:tx>
            <c:strRef>
              <c:f>k_means2D!$E$2</c:f>
              <c:strCache>
                <c:ptCount val="1"/>
                <c:pt idx="0">
                  <c:v>CENTROIDE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k_means2D!$F$2</c:f>
              <c:numCache>
                <c:formatCode>0.00</c:formatCode>
                <c:ptCount val="1"/>
                <c:pt idx="0">
                  <c:v>47.835951175133715</c:v>
                </c:pt>
              </c:numCache>
            </c:numRef>
          </c:xVal>
          <c:yVal>
            <c:numRef>
              <c:f>k_means2D!$G$2</c:f>
              <c:numCache>
                <c:formatCode>0.00</c:formatCode>
                <c:ptCount val="1"/>
                <c:pt idx="0">
                  <c:v>55.585486520275389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57-461F-85C0-965E04A801EF}"/>
            </c:ext>
          </c:extLst>
        </c:ser>
        <c:ser>
          <c:idx val="1"/>
          <c:order val="2"/>
          <c:tx>
            <c:strRef>
              <c:f>k_means2D!$Q$1</c:f>
              <c:strCache>
                <c:ptCount val="1"/>
                <c:pt idx="0">
                  <c:v>CLUSTER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k_means2D!$Q$2:$Q$20</c:f>
              <c:numCache>
                <c:formatCode>General</c:formatCode>
                <c:ptCount val="19"/>
                <c:pt idx="0">
                  <c:v>31.358055960478026</c:v>
                </c:pt>
                <c:pt idx="1">
                  <c:v>37.179001344154287</c:v>
                </c:pt>
                <c:pt idx="2">
                  <c:v>42.465723412500637</c:v>
                </c:pt>
                <c:pt idx="3">
                  <c:v>45.811933691586461</c:v>
                </c:pt>
                <c:pt idx="4">
                  <c:v>51.817524368323944</c:v>
                </c:pt>
                <c:pt idx="5">
                  <c:v>61.601741940235854</c:v>
                </c:pt>
                <c:pt idx="6">
                  <c:v>68.966071361030785</c:v>
                </c:pt>
                <c:pt idx="7">
                  <c:v>72.184954199522693</c:v>
                </c:pt>
                <c:pt idx="8">
                  <c:v>74.658377679501243</c:v>
                </c:pt>
                <c:pt idx="9">
                  <c:v>76.461719455035521</c:v>
                </c:pt>
                <c:pt idx="10">
                  <c:v>79.898177694892112</c:v>
                </c:pt>
                <c:pt idx="11">
                  <c:v>80.840124298562216</c:v>
                </c:pt>
                <c:pt idx="12">
                  <c:v>85.193070902337524</c:v>
                </c:pt>
                <c:pt idx="13">
                  <c:v>87.403373190429662</c:v>
                </c:pt>
                <c:pt idx="14">
                  <c:v>89.370732983381856</c:v>
                </c:pt>
                <c:pt idx="15">
                  <c:v>91.540221813168998</c:v>
                </c:pt>
                <c:pt idx="16">
                  <c:v>91.758534851033573</c:v>
                </c:pt>
                <c:pt idx="17">
                  <c:v>95.511500606878897</c:v>
                </c:pt>
                <c:pt idx="18">
                  <c:v>99.83723322460034</c:v>
                </c:pt>
              </c:numCache>
            </c:numRef>
          </c:xVal>
          <c:yVal>
            <c:numRef>
              <c:f>k_means2D!$R$2:$R$20</c:f>
              <c:numCache>
                <c:formatCode>General</c:formatCode>
                <c:ptCount val="19"/>
                <c:pt idx="0">
                  <c:v>93.984347616046875</c:v>
                </c:pt>
                <c:pt idx="1">
                  <c:v>88.065471407285202</c:v>
                </c:pt>
                <c:pt idx="2">
                  <c:v>80.885059921569152</c:v>
                </c:pt>
                <c:pt idx="3">
                  <c:v>79.26771609522892</c:v>
                </c:pt>
                <c:pt idx="4">
                  <c:v>46.989572475183095</c:v>
                </c:pt>
                <c:pt idx="5">
                  <c:v>37.369413344845917</c:v>
                </c:pt>
                <c:pt idx="6">
                  <c:v>97.982202475605561</c:v>
                </c:pt>
                <c:pt idx="7">
                  <c:v>57.216988718580467</c:v>
                </c:pt>
                <c:pt idx="8">
                  <c:v>85.99828411939842</c:v>
                </c:pt>
                <c:pt idx="9">
                  <c:v>22.002676665812228</c:v>
                </c:pt>
                <c:pt idx="10">
                  <c:v>69.185790278803452</c:v>
                </c:pt>
                <c:pt idx="11">
                  <c:v>63.729537004306238</c:v>
                </c:pt>
                <c:pt idx="12">
                  <c:v>96.348155356595612</c:v>
                </c:pt>
                <c:pt idx="13">
                  <c:v>62.230858000747304</c:v>
                </c:pt>
                <c:pt idx="14">
                  <c:v>78.476195937959176</c:v>
                </c:pt>
                <c:pt idx="15">
                  <c:v>56.178292571631495</c:v>
                </c:pt>
                <c:pt idx="16">
                  <c:v>47.90898506930872</c:v>
                </c:pt>
                <c:pt idx="17">
                  <c:v>81.421674870117386</c:v>
                </c:pt>
                <c:pt idx="18">
                  <c:v>72.450309121018918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57-461F-85C0-965E04A801EF}"/>
            </c:ext>
          </c:extLst>
        </c:ser>
        <c:ser>
          <c:idx val="3"/>
          <c:order val="3"/>
          <c:tx>
            <c:strRef>
              <c:f>k_means2D!$E$3</c:f>
              <c:strCache>
                <c:ptCount val="1"/>
                <c:pt idx="0">
                  <c:v>CENTROIDE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k_means2D!$F$3</c:f>
              <c:numCache>
                <c:formatCode>0.00</c:formatCode>
                <c:ptCount val="1"/>
                <c:pt idx="0">
                  <c:v>62.772911909077848</c:v>
                </c:pt>
              </c:numCache>
            </c:numRef>
          </c:xVal>
          <c:yVal>
            <c:numRef>
              <c:f>k_means2D!$G$3</c:f>
              <c:numCache>
                <c:formatCode>0.00</c:formatCode>
                <c:ptCount val="1"/>
                <c:pt idx="0">
                  <c:v>49.379905355803892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57-461F-85C0-965E04A80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805023"/>
        <c:axId val="1691802111"/>
      </c:scatterChart>
      <c:valAx>
        <c:axId val="1691805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802111"/>
        <c:crosses val="autoZero"/>
        <c:crossBetween val="midCat"/>
      </c:valAx>
      <c:valAx>
        <c:axId val="169180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80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6</xdr:row>
      <xdr:rowOff>38100</xdr:rowOff>
    </xdr:from>
    <xdr:to>
      <xdr:col>8</xdr:col>
      <xdr:colOff>260350</xdr:colOff>
      <xdr:row>8</xdr:row>
      <xdr:rowOff>171450</xdr:rowOff>
    </xdr:to>
    <xdr:sp macro="[0]!IT_CPCLV" textlink="">
      <xdr:nvSpPr>
        <xdr:cNvPr id="2" name="Retângulo Arredondado 1"/>
        <xdr:cNvSpPr/>
      </xdr:nvSpPr>
      <xdr:spPr>
        <a:xfrm>
          <a:off x="3086100" y="1511300"/>
          <a:ext cx="2273300" cy="501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Clique para alterar valores iniciais dos clusters até que convirjam.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6</xdr:row>
      <xdr:rowOff>38100</xdr:rowOff>
    </xdr:from>
    <xdr:to>
      <xdr:col>7</xdr:col>
      <xdr:colOff>260350</xdr:colOff>
      <xdr:row>8</xdr:row>
      <xdr:rowOff>171450</xdr:rowOff>
    </xdr:to>
    <xdr:sp macro="[0]!IT_CPCLV2" textlink="">
      <xdr:nvSpPr>
        <xdr:cNvPr id="2" name="Retângulo Arredondado 1"/>
        <xdr:cNvSpPr/>
      </xdr:nvSpPr>
      <xdr:spPr>
        <a:xfrm>
          <a:off x="2774950" y="1143000"/>
          <a:ext cx="2273300" cy="501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Clique para alterar valores iniciais dos clusters até que convirjam.</a:t>
          </a:r>
        </a:p>
      </xdr:txBody>
    </xdr:sp>
    <xdr:clientData/>
  </xdr:twoCellAnchor>
  <xdr:twoCellAnchor>
    <xdr:from>
      <xdr:col>12</xdr:col>
      <xdr:colOff>371474</xdr:colOff>
      <xdr:row>0</xdr:row>
      <xdr:rowOff>50800</xdr:rowOff>
    </xdr:from>
    <xdr:to>
      <xdr:col>21</xdr:col>
      <xdr:colOff>260349</xdr:colOff>
      <xdr:row>31</xdr:row>
      <xdr:rowOff>9525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P21"/>
  <sheetViews>
    <sheetView workbookViewId="0">
      <selection activeCell="D4" sqref="D4:D21"/>
    </sheetView>
  </sheetViews>
  <sheetFormatPr defaultRowHeight="14.5" x14ac:dyDescent="0.35"/>
  <cols>
    <col min="5" max="5" width="4.26953125" customWidth="1"/>
    <col min="6" max="6" width="11.90625" bestFit="1" customWidth="1"/>
    <col min="9" max="9" width="5.26953125" bestFit="1" customWidth="1"/>
    <col min="10" max="10" width="3.6328125" customWidth="1"/>
    <col min="11" max="12" width="10.54296875" bestFit="1" customWidth="1"/>
    <col min="13" max="13" width="13" bestFit="1" customWidth="1"/>
  </cols>
  <sheetData>
    <row r="1" spans="1:16" x14ac:dyDescent="0.35">
      <c r="A1" s="3" t="s">
        <v>0</v>
      </c>
      <c r="B1" s="3" t="s">
        <v>1</v>
      </c>
      <c r="C1" s="3" t="s">
        <v>2</v>
      </c>
      <c r="D1" s="3" t="s">
        <v>3</v>
      </c>
      <c r="G1" s="3" t="s">
        <v>0</v>
      </c>
      <c r="H1" s="3" t="s">
        <v>1</v>
      </c>
      <c r="I1" s="3" t="s">
        <v>2</v>
      </c>
      <c r="K1" s="3" t="s">
        <v>6</v>
      </c>
      <c r="L1" s="3" t="s">
        <v>7</v>
      </c>
      <c r="M1" s="3" t="s">
        <v>8</v>
      </c>
    </row>
    <row r="2" spans="1:16" x14ac:dyDescent="0.35">
      <c r="A2" s="2">
        <v>45.266544880106437</v>
      </c>
      <c r="B2" s="2">
        <v>99.522791492881709</v>
      </c>
      <c r="C2" s="2">
        <v>41.223334475637962</v>
      </c>
      <c r="D2" s="2">
        <v>2</v>
      </c>
      <c r="F2" s="3" t="s">
        <v>4</v>
      </c>
      <c r="G2" s="4">
        <f>AVERAGEIF($D$2:$D$21,1,A2:A21)</f>
        <v>52.229826430756702</v>
      </c>
      <c r="H2" s="4">
        <f t="shared" ref="H2:I2" si="0">AVERAGEIF($D$2:$D$21,1,B2:B21)</f>
        <v>60.347898441873518</v>
      </c>
      <c r="I2" s="4">
        <f t="shared" si="0"/>
        <v>37.850041419534477</v>
      </c>
      <c r="K2" s="1">
        <f>SUMXMY2(A2:C2,$G$2:$I$2)</f>
        <v>1594.5386415539119</v>
      </c>
      <c r="L2" s="1">
        <f>SUMXMY2(A2:C2,$G$3:$I$3)</f>
        <v>1671.4373833321083</v>
      </c>
      <c r="M2" s="1">
        <f>IF(K2&lt;L2,1,2)</f>
        <v>1</v>
      </c>
      <c r="P2" s="2"/>
    </row>
    <row r="3" spans="1:16" x14ac:dyDescent="0.35">
      <c r="A3" s="2">
        <v>53.63922633442688</v>
      </c>
      <c r="B3" s="2">
        <v>71.686835547143417</v>
      </c>
      <c r="C3" s="2">
        <v>52.873719026422158</v>
      </c>
      <c r="D3" s="2">
        <v>1</v>
      </c>
      <c r="F3" s="3" t="s">
        <v>5</v>
      </c>
      <c r="G3" s="4">
        <f>AVERAGEIF($D$2:$D$21,2,A2:A21)</f>
        <v>54.947337473204335</v>
      </c>
      <c r="H3" s="4">
        <f t="shared" ref="H3" si="1">AVERAGEIF($D$2:$D$21,2,B2:B21)</f>
        <v>59.866737776626636</v>
      </c>
      <c r="I3" s="4">
        <f>AVERAGEIF($D$2:$D$21,2,C2:C21)</f>
        <v>38.961246556254359</v>
      </c>
      <c r="K3" s="1">
        <f t="shared" ref="K3:K9" si="2">SUMXMY2(A3:C3,$G$2:$I$2)</f>
        <v>356.26879160143039</v>
      </c>
      <c r="L3" s="1">
        <f t="shared" ref="L3:L9" si="3">SUMXMY2(A3:C3,$G$3:$I$3)</f>
        <v>334.98275628914632</v>
      </c>
      <c r="M3" s="1">
        <f t="shared" ref="M3:M9" si="4">IF(K3&lt;L3,1,2)</f>
        <v>2</v>
      </c>
      <c r="P3" s="2"/>
    </row>
    <row r="4" spans="1:16" x14ac:dyDescent="0.35">
      <c r="A4" s="2">
        <v>75.925648686901937</v>
      </c>
      <c r="B4" s="2">
        <v>92.540494365105857</v>
      </c>
      <c r="C4" s="2">
        <v>39.802348712161042</v>
      </c>
      <c r="D4" s="2">
        <v>2</v>
      </c>
      <c r="K4" s="1">
        <f t="shared" si="2"/>
        <v>1601.6667284361861</v>
      </c>
      <c r="L4" s="1">
        <f t="shared" si="3"/>
        <v>1508.3713638186107</v>
      </c>
      <c r="M4" s="1">
        <f t="shared" si="4"/>
        <v>2</v>
      </c>
      <c r="P4" s="2"/>
    </row>
    <row r="5" spans="1:16" x14ac:dyDescent="0.35">
      <c r="A5" s="2">
        <v>63.120501907450532</v>
      </c>
      <c r="B5" s="2">
        <v>82.55207067503126</v>
      </c>
      <c r="C5" s="2">
        <v>23.681828262666848</v>
      </c>
      <c r="D5" s="2">
        <v>1</v>
      </c>
      <c r="F5" t="s">
        <v>9</v>
      </c>
      <c r="G5" s="1">
        <f>SUMIF(M2:M21,1,K2:K21)+SUMIF(M2:M21,2,L2:L21)</f>
        <v>44954.08097631186</v>
      </c>
      <c r="K5" s="1">
        <f t="shared" si="2"/>
        <v>812.37034095683066</v>
      </c>
      <c r="L5" s="1">
        <f t="shared" si="3"/>
        <v>814.88556897108276</v>
      </c>
      <c r="M5" s="1">
        <f t="shared" si="4"/>
        <v>1</v>
      </c>
      <c r="P5" s="2"/>
    </row>
    <row r="6" spans="1:16" x14ac:dyDescent="0.35">
      <c r="A6" s="2">
        <v>98.635549886947601</v>
      </c>
      <c r="B6" s="2">
        <v>27.86421469274617</v>
      </c>
      <c r="C6" s="2">
        <v>37.009456819851785</v>
      </c>
      <c r="D6" s="2">
        <v>2</v>
      </c>
      <c r="F6" t="s">
        <v>10</v>
      </c>
      <c r="I6" s="5">
        <f>--AND(INDEX(D2:D21=M2:M21,0))</f>
        <v>0</v>
      </c>
      <c r="K6" s="1">
        <f t="shared" si="2"/>
        <v>3209.3874618750106</v>
      </c>
      <c r="L6" s="1">
        <f t="shared" si="3"/>
        <v>2936.6308708177794</v>
      </c>
      <c r="M6" s="1">
        <f t="shared" si="4"/>
        <v>2</v>
      </c>
      <c r="P6" s="2"/>
    </row>
    <row r="7" spans="1:16" x14ac:dyDescent="0.35">
      <c r="A7" s="2">
        <v>8.1068288233579473</v>
      </c>
      <c r="B7" s="2">
        <v>16.943559880542935</v>
      </c>
      <c r="C7" s="2">
        <v>2.1301839292356184</v>
      </c>
      <c r="D7" s="2">
        <v>1</v>
      </c>
      <c r="K7" s="1">
        <f t="shared" si="2"/>
        <v>5106.683742936385</v>
      </c>
      <c r="L7" s="1">
        <f t="shared" si="3"/>
        <v>5392.9596255105589</v>
      </c>
      <c r="M7" s="1">
        <f t="shared" si="4"/>
        <v>1</v>
      </c>
      <c r="P7" s="2"/>
    </row>
    <row r="8" spans="1:16" x14ac:dyDescent="0.35">
      <c r="A8" s="2">
        <v>5.916935736725792</v>
      </c>
      <c r="B8" s="2">
        <v>99.254672579747364</v>
      </c>
      <c r="C8" s="2">
        <v>40.132259490246561</v>
      </c>
      <c r="D8" s="2">
        <v>2</v>
      </c>
      <c r="K8" s="1">
        <f t="shared" si="2"/>
        <v>3663.8294375750688</v>
      </c>
      <c r="L8" s="1">
        <f t="shared" si="3"/>
        <v>3956.7609737869448</v>
      </c>
      <c r="M8" s="1">
        <f t="shared" si="4"/>
        <v>1</v>
      </c>
      <c r="P8" s="2"/>
    </row>
    <row r="9" spans="1:16" x14ac:dyDescent="0.35">
      <c r="A9" s="2">
        <v>29.442961792286791</v>
      </c>
      <c r="B9" s="2">
        <v>22.919240435819134</v>
      </c>
      <c r="C9" s="2">
        <v>71.350620557564724</v>
      </c>
      <c r="D9" s="2">
        <v>1</v>
      </c>
      <c r="K9" s="1">
        <f t="shared" si="2"/>
        <v>3042.4344427695569</v>
      </c>
      <c r="L9" s="1">
        <f t="shared" si="3"/>
        <v>3064.6622868191153</v>
      </c>
      <c r="M9" s="1">
        <f t="shared" si="4"/>
        <v>1</v>
      </c>
      <c r="P9" s="2"/>
    </row>
    <row r="10" spans="1:16" x14ac:dyDescent="0.35">
      <c r="A10" s="2">
        <v>61.001777415604131</v>
      </c>
      <c r="B10" s="2">
        <v>14.801512922190573</v>
      </c>
      <c r="C10" s="2">
        <v>47.848820477555563</v>
      </c>
      <c r="D10" s="2">
        <v>2</v>
      </c>
      <c r="K10" s="1">
        <f t="shared" ref="K10:K21" si="5">SUMXMY2(A10:C10,$G$2:$I$2)</f>
        <v>2251.3959406392705</v>
      </c>
      <c r="L10" s="1">
        <f t="shared" ref="L10:L21" si="6">SUMXMY2(A10:C10,$G$3:$I$3)</f>
        <v>2146.5197044036013</v>
      </c>
      <c r="M10" s="1">
        <f t="shared" ref="M10:M21" si="7">IF(K10&lt;L10,1,2)</f>
        <v>2</v>
      </c>
      <c r="P10" s="2"/>
    </row>
    <row r="11" spans="1:16" x14ac:dyDescent="0.35">
      <c r="A11" s="2">
        <v>65.193160843313564</v>
      </c>
      <c r="B11" s="2">
        <v>81.12197281793712</v>
      </c>
      <c r="C11" s="2">
        <v>3.9977666338308904</v>
      </c>
      <c r="D11" s="2">
        <v>1</v>
      </c>
      <c r="K11" s="1">
        <f t="shared" si="5"/>
        <v>1745.5867134407858</v>
      </c>
      <c r="L11" s="1">
        <f t="shared" si="6"/>
        <v>1779.2068414785383</v>
      </c>
      <c r="M11" s="1">
        <f t="shared" si="7"/>
        <v>1</v>
      </c>
      <c r="P11" s="2"/>
    </row>
    <row r="12" spans="1:16" x14ac:dyDescent="0.35">
      <c r="A12" s="2">
        <v>61.475389079617585</v>
      </c>
      <c r="B12" s="2">
        <v>21.459262827437975</v>
      </c>
      <c r="C12" s="2">
        <v>1.6081267417703771</v>
      </c>
      <c r="D12" s="2">
        <v>2</v>
      </c>
      <c r="K12" s="1">
        <f t="shared" si="5"/>
        <v>2911.2827881566891</v>
      </c>
      <c r="L12" s="1">
        <f t="shared" si="6"/>
        <v>2913.0051496237447</v>
      </c>
      <c r="M12" s="1">
        <f t="shared" si="7"/>
        <v>1</v>
      </c>
      <c r="P12" s="2"/>
    </row>
    <row r="13" spans="1:16" x14ac:dyDescent="0.35">
      <c r="A13" s="2">
        <v>71.371012098033532</v>
      </c>
      <c r="B13" s="2">
        <v>70.841984569068472</v>
      </c>
      <c r="C13" s="2">
        <v>45.018925618176112</v>
      </c>
      <c r="D13" s="2">
        <v>1</v>
      </c>
      <c r="K13" s="1">
        <f t="shared" si="5"/>
        <v>527.9037330476832</v>
      </c>
      <c r="L13" s="1">
        <f t="shared" si="6"/>
        <v>426.88860595450848</v>
      </c>
      <c r="M13" s="1">
        <f t="shared" si="7"/>
        <v>2</v>
      </c>
      <c r="P13" s="2"/>
    </row>
    <row r="14" spans="1:16" x14ac:dyDescent="0.35">
      <c r="A14" s="2">
        <v>33.184471318706287</v>
      </c>
      <c r="B14" s="2">
        <v>94.67372684239092</v>
      </c>
      <c r="C14" s="2">
        <v>2.0322249450097973</v>
      </c>
      <c r="D14" s="2">
        <v>2</v>
      </c>
      <c r="K14" s="1">
        <f t="shared" si="5"/>
        <v>2823.904023728604</v>
      </c>
      <c r="L14" s="1">
        <f t="shared" si="6"/>
        <v>3048.9014682465995</v>
      </c>
      <c r="M14" s="1">
        <f t="shared" si="7"/>
        <v>1</v>
      </c>
      <c r="P14" s="2"/>
    </row>
    <row r="15" spans="1:16" x14ac:dyDescent="0.35">
      <c r="A15" s="2">
        <v>5.7608496611793569</v>
      </c>
      <c r="B15" s="2">
        <v>78.394037028575539</v>
      </c>
      <c r="C15" s="2">
        <v>60.165260896665671</v>
      </c>
      <c r="D15" s="2">
        <v>1</v>
      </c>
      <c r="K15" s="1">
        <f t="shared" si="5"/>
        <v>2982.99794021451</v>
      </c>
      <c r="L15" s="1">
        <f t="shared" si="6"/>
        <v>3212.1816250021166</v>
      </c>
      <c r="M15" s="1">
        <f t="shared" si="7"/>
        <v>1</v>
      </c>
      <c r="P15" s="2"/>
    </row>
    <row r="16" spans="1:16" x14ac:dyDescent="0.35">
      <c r="A16" s="2">
        <v>36.771618054038527</v>
      </c>
      <c r="B16" s="2">
        <v>21.008510801181789</v>
      </c>
      <c r="C16" s="2">
        <v>85.501924842992068</v>
      </c>
      <c r="D16" s="2">
        <v>2</v>
      </c>
      <c r="K16" s="1">
        <f t="shared" si="5"/>
        <v>4057.2456199654416</v>
      </c>
      <c r="L16" s="1">
        <f t="shared" si="6"/>
        <v>4006.3533154690494</v>
      </c>
      <c r="M16" s="1">
        <f t="shared" si="7"/>
        <v>2</v>
      </c>
      <c r="P16" s="2"/>
    </row>
    <row r="17" spans="1:16" x14ac:dyDescent="0.35">
      <c r="A17" s="2">
        <v>86.001226878797922</v>
      </c>
      <c r="B17" s="2">
        <v>65.966670114563101</v>
      </c>
      <c r="C17" s="2">
        <v>24.507705099245815</v>
      </c>
      <c r="D17" s="2">
        <v>1</v>
      </c>
      <c r="K17" s="1">
        <f t="shared" si="5"/>
        <v>1350.0960218154717</v>
      </c>
      <c r="L17" s="1">
        <f t="shared" si="6"/>
        <v>1210.4580823917051</v>
      </c>
      <c r="M17" s="1">
        <f t="shared" si="7"/>
        <v>2</v>
      </c>
      <c r="P17" s="2"/>
    </row>
    <row r="18" spans="1:16" x14ac:dyDescent="0.35">
      <c r="A18" s="2">
        <v>87.306630999639694</v>
      </c>
      <c r="B18" s="2">
        <v>47.636523774640985</v>
      </c>
      <c r="C18" s="2">
        <v>70.883094452523594</v>
      </c>
      <c r="D18" s="2">
        <v>2</v>
      </c>
      <c r="K18" s="1">
        <f t="shared" si="5"/>
        <v>2483.1438573746432</v>
      </c>
      <c r="L18" s="1">
        <f t="shared" si="6"/>
        <v>2215.7063851769153</v>
      </c>
      <c r="M18" s="1">
        <f t="shared" si="7"/>
        <v>2</v>
      </c>
      <c r="P18" s="2"/>
    </row>
    <row r="19" spans="1:16" x14ac:dyDescent="0.35">
      <c r="A19" s="2">
        <v>89.44384750555038</v>
      </c>
      <c r="B19" s="2">
        <v>52.848211944952098</v>
      </c>
      <c r="C19" s="2">
        <v>89.328523226948121</v>
      </c>
      <c r="D19" s="2">
        <v>1</v>
      </c>
      <c r="K19" s="1">
        <f t="shared" si="5"/>
        <v>4091.162751303511</v>
      </c>
      <c r="L19" s="1">
        <f t="shared" si="6"/>
        <v>3776.1314684838462</v>
      </c>
      <c r="M19" s="1">
        <f t="shared" si="7"/>
        <v>2</v>
      </c>
      <c r="P19" s="2"/>
    </row>
    <row r="20" spans="1:16" x14ac:dyDescent="0.35">
      <c r="A20" s="2">
        <v>43.988808673755287</v>
      </c>
      <c r="B20" s="2">
        <v>79.905667467943019</v>
      </c>
      <c r="C20" s="2">
        <v>23.570874604794799</v>
      </c>
      <c r="D20" s="2">
        <v>2</v>
      </c>
      <c r="K20" s="1">
        <f t="shared" si="5"/>
        <v>654.31530787145903</v>
      </c>
      <c r="L20" s="1">
        <f t="shared" si="6"/>
        <v>758.51160542614866</v>
      </c>
      <c r="M20" s="1">
        <f t="shared" si="7"/>
        <v>1</v>
      </c>
      <c r="P20" s="2"/>
    </row>
    <row r="21" spans="1:16" x14ac:dyDescent="0.35">
      <c r="A21" s="2">
        <v>50.21864846317019</v>
      </c>
      <c r="B21" s="2">
        <v>60.204401405102125</v>
      </c>
      <c r="C21" s="2">
        <v>5.4458809445888878</v>
      </c>
      <c r="D21" s="2">
        <v>1</v>
      </c>
      <c r="K21" s="1">
        <f t="shared" si="5"/>
        <v>1054.0950443028937</v>
      </c>
      <c r="L21" s="1">
        <f t="shared" si="6"/>
        <v>1145.7542485632214</v>
      </c>
      <c r="M21" s="1">
        <f t="shared" si="7"/>
        <v>1</v>
      </c>
      <c r="P21" s="2"/>
    </row>
  </sheetData>
  <conditionalFormatting sqref="F6:H6">
    <cfRule type="expression" dxfId="3" priority="1">
      <formula>$I$6=0</formula>
    </cfRule>
    <cfRule type="expression" dxfId="2" priority="2">
      <formula>$I$6=1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9A55210-8722-414A-9251-763C2BFF62E2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afficLights1" iconId="0"/>
              <x14:cfIcon iconSet="3TrafficLights1" iconId="2"/>
            </x14:iconSet>
          </x14:cfRule>
          <xm:sqref>I6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R31"/>
  <sheetViews>
    <sheetView tabSelected="1" workbookViewId="0">
      <selection activeCell="D21" sqref="D20:D21"/>
    </sheetView>
  </sheetViews>
  <sheetFormatPr defaultRowHeight="14.5" x14ac:dyDescent="0.35"/>
  <cols>
    <col min="4" max="4" width="4.26953125" customWidth="1"/>
    <col min="5" max="5" width="11.90625" bestFit="1" customWidth="1"/>
    <col min="8" max="8" width="4.26953125" bestFit="1" customWidth="1"/>
    <col min="9" max="9" width="3.6328125" customWidth="1"/>
    <col min="10" max="11" width="10.54296875" bestFit="1" customWidth="1"/>
    <col min="12" max="12" width="13" bestFit="1" customWidth="1"/>
  </cols>
  <sheetData>
    <row r="1" spans="1:18" x14ac:dyDescent="0.35">
      <c r="A1" s="3" t="s">
        <v>0</v>
      </c>
      <c r="B1" s="3" t="s">
        <v>1</v>
      </c>
      <c r="C1" s="3" t="s">
        <v>3</v>
      </c>
      <c r="F1" s="3" t="s">
        <v>0</v>
      </c>
      <c r="G1" s="3" t="s">
        <v>1</v>
      </c>
      <c r="H1" s="3"/>
      <c r="J1" s="3" t="s">
        <v>6</v>
      </c>
      <c r="K1" s="3" t="s">
        <v>7</v>
      </c>
      <c r="L1" s="3" t="s">
        <v>8</v>
      </c>
      <c r="N1" s="3" t="s">
        <v>11</v>
      </c>
      <c r="Q1" s="3" t="s">
        <v>12</v>
      </c>
    </row>
    <row r="2" spans="1:18" x14ac:dyDescent="0.35">
      <c r="A2" s="2">
        <v>37.033630344383226</v>
      </c>
      <c r="B2" s="2">
        <v>25.006962791071995</v>
      </c>
      <c r="C2" s="2">
        <v>2</v>
      </c>
      <c r="E2" s="3" t="s">
        <v>4</v>
      </c>
      <c r="F2" s="4">
        <f>AVERAGEIF($C$2:$C$31,1,A2:A31)</f>
        <v>47.835951175133715</v>
      </c>
      <c r="G2" s="4">
        <f>AVERAGEIF($C$2:$C$31,1,B2:B31)</f>
        <v>55.585486520275389</v>
      </c>
      <c r="H2" s="4"/>
      <c r="J2" s="1">
        <f>SUMXMY2(A2:B2,$F$2:$G$2)</f>
        <v>1051.7362487879209</v>
      </c>
      <c r="K2" s="1">
        <f>SUMXMY2(A2:B2,$F$3:$G$3)</f>
        <v>1256.5509447303484</v>
      </c>
      <c r="L2" s="1">
        <f>IF(J2&lt;K2,1,2)</f>
        <v>1</v>
      </c>
      <c r="N2">
        <v>0.62087633471196169</v>
      </c>
      <c r="O2">
        <v>28.924591313129831</v>
      </c>
      <c r="Q2">
        <v>31.358055960478026</v>
      </c>
      <c r="R2">
        <v>93.984347616046875</v>
      </c>
    </row>
    <row r="3" spans="1:18" x14ac:dyDescent="0.35">
      <c r="A3" s="2">
        <v>37.778058133387361</v>
      </c>
      <c r="B3" s="2">
        <v>51.154104878220238</v>
      </c>
      <c r="C3" s="2">
        <v>1</v>
      </c>
      <c r="E3" s="3" t="s">
        <v>5</v>
      </c>
      <c r="F3" s="4">
        <f>AVERAGEIF($C$2:$C$31,2,A2:A31)</f>
        <v>62.772911909077848</v>
      </c>
      <c r="G3" s="4">
        <f>AVERAGEIF($C$2:$C$31,2,B2:B31)</f>
        <v>49.379905355803892</v>
      </c>
      <c r="H3" s="4"/>
      <c r="J3" s="1">
        <f t="shared" ref="J3:J9" si="0">SUMXMY2(A3:B3,$F$2:$G$2)</f>
        <v>120.79835569675312</v>
      </c>
      <c r="K3" s="1">
        <f t="shared" ref="K3:K9" si="1">SUMXMY2(A3:B3,$F$3:$G$3)</f>
        <v>627.89049921349147</v>
      </c>
      <c r="L3" s="1">
        <f t="shared" ref="L3:L9" si="2">IF(J3&lt;K3,1,2)</f>
        <v>1</v>
      </c>
      <c r="N3">
        <v>0.81134364786480395</v>
      </c>
      <c r="O3">
        <v>46.384289119077948</v>
      </c>
      <c r="Q3">
        <v>37.179001344154287</v>
      </c>
      <c r="R3">
        <v>88.065471407285202</v>
      </c>
    </row>
    <row r="4" spans="1:18" x14ac:dyDescent="0.35">
      <c r="A4" s="2">
        <v>56.478300611644372</v>
      </c>
      <c r="B4" s="2">
        <v>6.4713424785496354</v>
      </c>
      <c r="C4" s="2">
        <v>2</v>
      </c>
      <c r="J4" s="1">
        <f t="shared" si="0"/>
        <v>2486.8893487341415</v>
      </c>
      <c r="K4" s="1">
        <f t="shared" si="1"/>
        <v>1880.7668995770591</v>
      </c>
      <c r="L4" s="1">
        <f t="shared" si="2"/>
        <v>2</v>
      </c>
      <c r="N4">
        <v>4.6333412748329135</v>
      </c>
      <c r="O4">
        <v>0.4820921221168728</v>
      </c>
      <c r="Q4">
        <v>42.465723412500637</v>
      </c>
      <c r="R4">
        <v>80.885059921569152</v>
      </c>
    </row>
    <row r="5" spans="1:18" x14ac:dyDescent="0.35">
      <c r="A5" s="2">
        <v>8.5041115019460989</v>
      </c>
      <c r="B5" s="2">
        <v>32.802478486586459</v>
      </c>
      <c r="C5" s="2">
        <v>1</v>
      </c>
      <c r="E5" t="s">
        <v>9</v>
      </c>
      <c r="F5" s="1">
        <f>SUMIF(L2:L31,1,J2:J31)+SUMIF(L2:L31,2,K2:K31)</f>
        <v>45336.907897067147</v>
      </c>
      <c r="J5" s="1">
        <f t="shared" si="0"/>
        <v>2066.0590671404698</v>
      </c>
      <c r="K5" s="1">
        <f t="shared" si="1"/>
        <v>3219.9137792333554</v>
      </c>
      <c r="L5" s="1">
        <f t="shared" si="2"/>
        <v>1</v>
      </c>
      <c r="N5">
        <v>6.6429942496529453</v>
      </c>
      <c r="O5">
        <v>18.960574051521629</v>
      </c>
      <c r="Q5">
        <v>45.811933691586461</v>
      </c>
      <c r="R5">
        <v>79.26771609522892</v>
      </c>
    </row>
    <row r="6" spans="1:18" x14ac:dyDescent="0.35">
      <c r="A6" s="2">
        <v>37.179001344154287</v>
      </c>
      <c r="B6" s="2">
        <v>88.065471407285202</v>
      </c>
      <c r="C6" s="2">
        <v>2</v>
      </c>
      <c r="E6" t="s">
        <v>10</v>
      </c>
      <c r="H6" s="5">
        <f>--AND(INDEX(C2:C31=L2:L31,0))</f>
        <v>0</v>
      </c>
      <c r="J6" s="1">
        <f t="shared" si="0"/>
        <v>1168.5199979603983</v>
      </c>
      <c r="K6" s="1">
        <f t="shared" si="1"/>
        <v>2151.6212787288291</v>
      </c>
      <c r="L6" s="1">
        <f t="shared" si="2"/>
        <v>1</v>
      </c>
      <c r="N6">
        <v>8.5041115019460989</v>
      </c>
      <c r="O6">
        <v>32.802478486586459</v>
      </c>
      <c r="Q6">
        <v>51.817524368323944</v>
      </c>
      <c r="R6">
        <v>46.989572475183095</v>
      </c>
    </row>
    <row r="7" spans="1:18" x14ac:dyDescent="0.35">
      <c r="A7" s="2">
        <v>10.695006388202676</v>
      </c>
      <c r="B7" s="2">
        <v>31.863525300717054</v>
      </c>
      <c r="C7" s="2">
        <v>1</v>
      </c>
      <c r="J7" s="1">
        <f t="shared" si="0"/>
        <v>1942.1812237680892</v>
      </c>
      <c r="K7" s="1">
        <f t="shared" si="1"/>
        <v>3018.9318136754446</v>
      </c>
      <c r="L7" s="1">
        <f t="shared" si="2"/>
        <v>1</v>
      </c>
      <c r="N7">
        <v>10.695006388202676</v>
      </c>
      <c r="O7">
        <v>31.863525300717054</v>
      </c>
      <c r="Q7">
        <v>61.601741940235854</v>
      </c>
      <c r="R7">
        <v>37.369413344845917</v>
      </c>
    </row>
    <row r="8" spans="1:18" x14ac:dyDescent="0.35">
      <c r="A8" s="2">
        <v>51.817524368323944</v>
      </c>
      <c r="B8" s="2">
        <v>46.989572475183095</v>
      </c>
      <c r="C8" s="2">
        <v>2</v>
      </c>
      <c r="J8" s="1">
        <f t="shared" si="0"/>
        <v>89.742663363345983</v>
      </c>
      <c r="K8" s="1">
        <f t="shared" si="1"/>
        <v>125.73420744828279</v>
      </c>
      <c r="L8" s="1">
        <f t="shared" si="2"/>
        <v>1</v>
      </c>
      <c r="N8">
        <v>37.033630344383226</v>
      </c>
      <c r="O8">
        <v>25.006962791071995</v>
      </c>
      <c r="Q8">
        <v>68.966071361030785</v>
      </c>
      <c r="R8">
        <v>97.982202475605561</v>
      </c>
    </row>
    <row r="9" spans="1:18" x14ac:dyDescent="0.35">
      <c r="A9" s="2">
        <v>76.461719455035521</v>
      </c>
      <c r="B9" s="2">
        <v>22.002676665812228</v>
      </c>
      <c r="C9" s="2">
        <v>1</v>
      </c>
      <c r="J9" s="1">
        <f t="shared" si="0"/>
        <v>1947.2397273356605</v>
      </c>
      <c r="K9" s="1">
        <f t="shared" si="1"/>
        <v>936.89610277437043</v>
      </c>
      <c r="L9" s="1">
        <f t="shared" si="2"/>
        <v>2</v>
      </c>
      <c r="N9">
        <v>37.778058133387361</v>
      </c>
      <c r="O9">
        <v>51.154104878220238</v>
      </c>
      <c r="Q9">
        <v>72.184954199522693</v>
      </c>
      <c r="R9">
        <v>57.216988718580467</v>
      </c>
    </row>
    <row r="10" spans="1:18" x14ac:dyDescent="0.35">
      <c r="A10" s="2">
        <v>45.811933691586461</v>
      </c>
      <c r="B10" s="2">
        <v>79.26771609522892</v>
      </c>
      <c r="C10" s="2">
        <v>2</v>
      </c>
      <c r="J10" s="1">
        <f t="shared" ref="J10:J31" si="3">SUMXMY2(A10:B10,$F$2:$G$2)</f>
        <v>564.94464441450862</v>
      </c>
      <c r="K10" s="1">
        <f t="shared" ref="K10:K31" si="4">SUMXMY2(A10:B10,$F$3:$G$3)</f>
        <v>1180.9560128899075</v>
      </c>
      <c r="L10" s="1">
        <f t="shared" ref="L10:L31" si="5">IF(J10&lt;K10,1,2)</f>
        <v>1</v>
      </c>
      <c r="N10">
        <v>52.341999221087264</v>
      </c>
      <c r="O10">
        <v>6.3184630541763713</v>
      </c>
      <c r="Q10">
        <v>74.658377679501243</v>
      </c>
      <c r="R10">
        <v>85.99828411939842</v>
      </c>
    </row>
    <row r="11" spans="1:18" x14ac:dyDescent="0.35">
      <c r="A11" s="2">
        <v>74.658377679501243</v>
      </c>
      <c r="B11" s="2">
        <v>85.99828411939842</v>
      </c>
      <c r="C11" s="2">
        <v>1</v>
      </c>
      <c r="J11" s="1">
        <f t="shared" si="3"/>
        <v>1644.3808213874213</v>
      </c>
      <c r="K11" s="1">
        <f t="shared" si="4"/>
        <v>1482.1699598539769</v>
      </c>
      <c r="L11" s="1">
        <f t="shared" si="5"/>
        <v>2</v>
      </c>
      <c r="N11">
        <v>56.478300611644372</v>
      </c>
      <c r="O11">
        <v>6.4713424785496354</v>
      </c>
      <c r="Q11">
        <v>76.461719455035521</v>
      </c>
      <c r="R11">
        <v>22.002676665812228</v>
      </c>
    </row>
    <row r="12" spans="1:18" x14ac:dyDescent="0.35">
      <c r="A12" s="2">
        <v>68.966071361030785</v>
      </c>
      <c r="B12" s="2">
        <v>97.982202475605561</v>
      </c>
      <c r="C12" s="2">
        <v>2</v>
      </c>
      <c r="J12" s="1">
        <f t="shared" si="3"/>
        <v>2243.9635028674029</v>
      </c>
      <c r="K12" s="1">
        <f t="shared" si="4"/>
        <v>2400.5385093187956</v>
      </c>
      <c r="L12" s="1">
        <f t="shared" si="5"/>
        <v>1</v>
      </c>
      <c r="N12">
        <v>79.735211577805345</v>
      </c>
      <c r="O12">
        <v>8.4209234959771617</v>
      </c>
      <c r="Q12">
        <v>79.898177694892112</v>
      </c>
      <c r="R12">
        <v>69.185790278803452</v>
      </c>
    </row>
    <row r="13" spans="1:18" x14ac:dyDescent="0.35">
      <c r="A13" s="2">
        <v>31.358055960478026</v>
      </c>
      <c r="B13" s="2">
        <v>93.984347616046875</v>
      </c>
      <c r="C13" s="2">
        <v>1</v>
      </c>
      <c r="J13" s="1">
        <f t="shared" si="3"/>
        <v>1745.9935641575257</v>
      </c>
      <c r="K13" s="1">
        <f t="shared" si="4"/>
        <v>2976.4494436186278</v>
      </c>
      <c r="L13" s="1">
        <f t="shared" si="5"/>
        <v>1</v>
      </c>
      <c r="N13" t="s">
        <v>13</v>
      </c>
      <c r="O13" t="s">
        <v>13</v>
      </c>
      <c r="Q13">
        <v>80.840124298562216</v>
      </c>
      <c r="R13">
        <v>63.729537004306238</v>
      </c>
    </row>
    <row r="14" spans="1:18" x14ac:dyDescent="0.35">
      <c r="A14" s="2">
        <v>72.184954199522693</v>
      </c>
      <c r="B14" s="2">
        <v>57.216988718580467</v>
      </c>
      <c r="C14" s="2">
        <v>2</v>
      </c>
      <c r="J14" s="1">
        <f t="shared" si="3"/>
        <v>595.53574770477792</v>
      </c>
      <c r="K14" s="1">
        <f t="shared" si="4"/>
        <v>150.00641571223161</v>
      </c>
      <c r="L14" s="1">
        <f t="shared" si="5"/>
        <v>2</v>
      </c>
      <c r="N14" t="s">
        <v>13</v>
      </c>
      <c r="O14" t="s">
        <v>13</v>
      </c>
      <c r="Q14">
        <v>85.193070902337524</v>
      </c>
      <c r="R14">
        <v>96.348155356595612</v>
      </c>
    </row>
    <row r="15" spans="1:18" x14ac:dyDescent="0.35">
      <c r="A15" s="2">
        <v>42.465723412500637</v>
      </c>
      <c r="B15" s="2">
        <v>80.885059921569152</v>
      </c>
      <c r="C15" s="2">
        <v>1</v>
      </c>
      <c r="J15" s="1">
        <f t="shared" si="3"/>
        <v>668.90776051000591</v>
      </c>
      <c r="K15" s="1">
        <f t="shared" si="4"/>
        <v>1404.9566688482773</v>
      </c>
      <c r="L15" s="1">
        <f t="shared" si="5"/>
        <v>1</v>
      </c>
      <c r="N15" t="s">
        <v>13</v>
      </c>
      <c r="O15" t="s">
        <v>13</v>
      </c>
      <c r="Q15">
        <v>87.403373190429662</v>
      </c>
      <c r="R15">
        <v>62.230858000747304</v>
      </c>
    </row>
    <row r="16" spans="1:18" x14ac:dyDescent="0.35">
      <c r="A16" s="2">
        <v>79.735211577805345</v>
      </c>
      <c r="B16" s="2">
        <v>8.4209234959771617</v>
      </c>
      <c r="C16" s="2">
        <v>2</v>
      </c>
      <c r="J16" s="1">
        <f t="shared" si="3"/>
        <v>3242.0588195104538</v>
      </c>
      <c r="K16" s="1">
        <f t="shared" si="4"/>
        <v>1965.357805045328</v>
      </c>
      <c r="L16" s="1">
        <f t="shared" si="5"/>
        <v>2</v>
      </c>
      <c r="N16" t="s">
        <v>13</v>
      </c>
      <c r="O16" t="s">
        <v>13</v>
      </c>
      <c r="Q16">
        <v>89.370732983381856</v>
      </c>
      <c r="R16">
        <v>78.476195937959176</v>
      </c>
    </row>
    <row r="17" spans="1:18" x14ac:dyDescent="0.35">
      <c r="A17" s="2">
        <v>89.370732983381856</v>
      </c>
      <c r="B17" s="2">
        <v>78.476195937959176</v>
      </c>
      <c r="C17" s="2">
        <v>1</v>
      </c>
      <c r="J17" s="1">
        <f t="shared" si="3"/>
        <v>2249.122677503618</v>
      </c>
      <c r="K17" s="1">
        <f t="shared" si="4"/>
        <v>1554.0382115419088</v>
      </c>
      <c r="L17" s="1">
        <f t="shared" si="5"/>
        <v>2</v>
      </c>
      <c r="N17" t="s">
        <v>13</v>
      </c>
      <c r="O17" t="s">
        <v>13</v>
      </c>
      <c r="Q17">
        <v>91.540221813168998</v>
      </c>
      <c r="R17">
        <v>56.178292571631495</v>
      </c>
    </row>
    <row r="18" spans="1:18" x14ac:dyDescent="0.35">
      <c r="A18" s="2">
        <v>4.6333412748329135</v>
      </c>
      <c r="B18" s="2">
        <v>0.4820921221168728</v>
      </c>
      <c r="C18" s="2">
        <v>2</v>
      </c>
      <c r="J18" s="1">
        <f t="shared" si="3"/>
        <v>4902.8495763965757</v>
      </c>
      <c r="K18" s="1">
        <f t="shared" si="4"/>
        <v>5771.2058125708936</v>
      </c>
      <c r="L18" s="1">
        <f t="shared" si="5"/>
        <v>1</v>
      </c>
      <c r="N18" t="s">
        <v>13</v>
      </c>
      <c r="O18" t="s">
        <v>13</v>
      </c>
      <c r="Q18">
        <v>91.758534851033573</v>
      </c>
      <c r="R18">
        <v>47.90898506930872</v>
      </c>
    </row>
    <row r="19" spans="1:18" x14ac:dyDescent="0.35">
      <c r="A19" s="2">
        <v>91.540221813168998</v>
      </c>
      <c r="B19" s="2">
        <v>56.178292571631495</v>
      </c>
      <c r="C19" s="2">
        <v>1</v>
      </c>
      <c r="J19" s="1">
        <f t="shared" si="3"/>
        <v>1910.4146910171573</v>
      </c>
      <c r="K19" s="1">
        <f t="shared" si="4"/>
        <v>873.7761878543489</v>
      </c>
      <c r="L19" s="1">
        <f t="shared" si="5"/>
        <v>2</v>
      </c>
      <c r="N19" t="s">
        <v>13</v>
      </c>
      <c r="O19" t="s">
        <v>13</v>
      </c>
      <c r="Q19">
        <v>95.511500606878897</v>
      </c>
      <c r="R19">
        <v>81.421674870117386</v>
      </c>
    </row>
    <row r="20" spans="1:18" x14ac:dyDescent="0.35">
      <c r="A20" s="2">
        <v>79.898177694892112</v>
      </c>
      <c r="B20" s="2">
        <v>69.185790278803452</v>
      </c>
      <c r="C20" s="2">
        <v>2</v>
      </c>
      <c r="J20" s="1">
        <f t="shared" si="3"/>
        <v>1212.9546317285312</v>
      </c>
      <c r="K20" s="1">
        <f t="shared" si="4"/>
        <v>685.54780581788191</v>
      </c>
      <c r="L20" s="1">
        <f t="shared" si="5"/>
        <v>2</v>
      </c>
      <c r="N20" t="s">
        <v>13</v>
      </c>
      <c r="O20" t="s">
        <v>13</v>
      </c>
      <c r="Q20">
        <v>99.83723322460034</v>
      </c>
      <c r="R20">
        <v>72.450309121018918</v>
      </c>
    </row>
    <row r="21" spans="1:18" x14ac:dyDescent="0.35">
      <c r="A21" s="2">
        <v>85.193070902337524</v>
      </c>
      <c r="B21" s="2">
        <v>96.348155356595612</v>
      </c>
      <c r="C21" s="2">
        <v>1</v>
      </c>
      <c r="J21" s="1">
        <f t="shared" si="3"/>
        <v>3057.1495649721519</v>
      </c>
      <c r="K21" s="1">
        <f t="shared" si="4"/>
        <v>2708.6800374199142</v>
      </c>
      <c r="L21" s="1">
        <f t="shared" si="5"/>
        <v>2</v>
      </c>
      <c r="N21" t="s">
        <v>13</v>
      </c>
      <c r="O21" t="s">
        <v>13</v>
      </c>
      <c r="Q21" t="s">
        <v>13</v>
      </c>
      <c r="R21" t="s">
        <v>13</v>
      </c>
    </row>
    <row r="22" spans="1:18" x14ac:dyDescent="0.35">
      <c r="A22" s="2">
        <v>87.403373190429662</v>
      </c>
      <c r="B22" s="2">
        <v>62.230858000747304</v>
      </c>
      <c r="C22" s="2">
        <v>2</v>
      </c>
      <c r="J22" s="1">
        <f t="shared" si="3"/>
        <v>1609.7418470499956</v>
      </c>
      <c r="K22" s="1">
        <f t="shared" si="4"/>
        <v>771.80660681474887</v>
      </c>
      <c r="L22" s="1">
        <f t="shared" si="5"/>
        <v>2</v>
      </c>
      <c r="N22" t="s">
        <v>13</v>
      </c>
      <c r="O22" t="s">
        <v>13</v>
      </c>
      <c r="Q22" t="s">
        <v>13</v>
      </c>
      <c r="R22" t="s">
        <v>13</v>
      </c>
    </row>
    <row r="23" spans="1:18" x14ac:dyDescent="0.35">
      <c r="A23" s="2">
        <v>0.62087633471196169</v>
      </c>
      <c r="B23" s="2">
        <v>28.924591313129831</v>
      </c>
      <c r="C23" s="2">
        <v>1</v>
      </c>
      <c r="J23" s="1">
        <f t="shared" si="3"/>
        <v>2940.0666254330245</v>
      </c>
      <c r="K23" s="1">
        <f t="shared" si="4"/>
        <v>4281.2953986216617</v>
      </c>
      <c r="L23" s="1">
        <f t="shared" si="5"/>
        <v>1</v>
      </c>
      <c r="N23" t="s">
        <v>13</v>
      </c>
      <c r="O23" t="s">
        <v>13</v>
      </c>
      <c r="Q23" t="s">
        <v>13</v>
      </c>
      <c r="R23" t="s">
        <v>13</v>
      </c>
    </row>
    <row r="24" spans="1:18" x14ac:dyDescent="0.35">
      <c r="A24" s="2">
        <v>80.840124298562216</v>
      </c>
      <c r="B24" s="2">
        <v>63.729537004306238</v>
      </c>
      <c r="C24" s="2">
        <v>2</v>
      </c>
      <c r="J24" s="1">
        <f t="shared" si="3"/>
        <v>1155.6010018476834</v>
      </c>
      <c r="K24" s="1">
        <f t="shared" si="4"/>
        <v>532.33609197443764</v>
      </c>
      <c r="L24" s="1">
        <f t="shared" si="5"/>
        <v>2</v>
      </c>
      <c r="N24" t="s">
        <v>13</v>
      </c>
      <c r="O24" t="s">
        <v>13</v>
      </c>
      <c r="Q24" t="s">
        <v>13</v>
      </c>
      <c r="R24" t="s">
        <v>13</v>
      </c>
    </row>
    <row r="25" spans="1:18" x14ac:dyDescent="0.35">
      <c r="A25" s="2">
        <v>61.601741940235854</v>
      </c>
      <c r="B25" s="2">
        <v>37.369413344845917</v>
      </c>
      <c r="C25" s="2">
        <v>1</v>
      </c>
      <c r="J25" s="1">
        <f t="shared" si="3"/>
        <v>521.32231732117248</v>
      </c>
      <c r="K25" s="1">
        <f t="shared" si="4"/>
        <v>145.62355744120268</v>
      </c>
      <c r="L25" s="1">
        <f t="shared" si="5"/>
        <v>2</v>
      </c>
      <c r="N25" t="s">
        <v>13</v>
      </c>
      <c r="O25" t="s">
        <v>13</v>
      </c>
      <c r="Q25" t="s">
        <v>13</v>
      </c>
      <c r="R25" t="s">
        <v>13</v>
      </c>
    </row>
    <row r="26" spans="1:18" x14ac:dyDescent="0.35">
      <c r="A26" s="2">
        <v>95.511500606878897</v>
      </c>
      <c r="B26" s="2">
        <v>81.421674870117386</v>
      </c>
      <c r="C26" s="2">
        <v>2</v>
      </c>
      <c r="J26" s="1">
        <f t="shared" si="3"/>
        <v>2940.4666420672897</v>
      </c>
      <c r="K26" s="1">
        <f t="shared" si="4"/>
        <v>2098.4901835321762</v>
      </c>
      <c r="L26" s="1">
        <f t="shared" si="5"/>
        <v>2</v>
      </c>
      <c r="N26" t="s">
        <v>13</v>
      </c>
      <c r="O26" t="s">
        <v>13</v>
      </c>
      <c r="Q26" t="s">
        <v>13</v>
      </c>
      <c r="R26" t="s">
        <v>13</v>
      </c>
    </row>
    <row r="27" spans="1:18" x14ac:dyDescent="0.35">
      <c r="A27" s="2">
        <v>0.81134364786480395</v>
      </c>
      <c r="B27" s="2">
        <v>46.384289119077948</v>
      </c>
      <c r="C27" s="2">
        <v>1</v>
      </c>
      <c r="J27" s="1">
        <f t="shared" si="3"/>
        <v>2295.9757467094787</v>
      </c>
      <c r="K27" s="1">
        <f t="shared" si="4"/>
        <v>3848.2096580267003</v>
      </c>
      <c r="L27" s="1">
        <f t="shared" si="5"/>
        <v>1</v>
      </c>
      <c r="N27" t="s">
        <v>13</v>
      </c>
      <c r="O27" t="s">
        <v>13</v>
      </c>
      <c r="Q27" t="s">
        <v>13</v>
      </c>
      <c r="R27" t="s">
        <v>13</v>
      </c>
    </row>
    <row r="28" spans="1:18" x14ac:dyDescent="0.35">
      <c r="A28" s="2">
        <v>91.758534851033573</v>
      </c>
      <c r="B28" s="2">
        <v>47.90898506930872</v>
      </c>
      <c r="C28" s="2">
        <v>2</v>
      </c>
      <c r="J28" s="1">
        <f t="shared" si="3"/>
        <v>1988.1220312931182</v>
      </c>
      <c r="K28" s="1">
        <f t="shared" si="4"/>
        <v>842.32994382245317</v>
      </c>
      <c r="L28" s="1">
        <f t="shared" si="5"/>
        <v>2</v>
      </c>
      <c r="N28" t="s">
        <v>13</v>
      </c>
      <c r="O28" t="s">
        <v>13</v>
      </c>
      <c r="Q28" t="s">
        <v>13</v>
      </c>
      <c r="R28" t="s">
        <v>13</v>
      </c>
    </row>
    <row r="29" spans="1:18" x14ac:dyDescent="0.35">
      <c r="A29" s="2">
        <v>6.6429942496529453</v>
      </c>
      <c r="B29" s="2">
        <v>18.960574051521629</v>
      </c>
      <c r="C29" s="2">
        <v>1</v>
      </c>
      <c r="J29" s="1">
        <f t="shared" si="3"/>
        <v>3038.243913608389</v>
      </c>
      <c r="K29" s="1">
        <f t="shared" si="4"/>
        <v>4075.9033734535069</v>
      </c>
      <c r="L29" s="1">
        <f t="shared" si="5"/>
        <v>1</v>
      </c>
      <c r="N29" t="s">
        <v>13</v>
      </c>
      <c r="O29" t="s">
        <v>13</v>
      </c>
      <c r="Q29" t="s">
        <v>13</v>
      </c>
      <c r="R29" t="s">
        <v>13</v>
      </c>
    </row>
    <row r="30" spans="1:18" x14ac:dyDescent="0.35">
      <c r="A30" s="2">
        <v>52.341999221087264</v>
      </c>
      <c r="B30" s="2">
        <v>6.3184630541763713</v>
      </c>
      <c r="C30" s="2">
        <v>2</v>
      </c>
      <c r="J30" s="1">
        <f t="shared" si="3"/>
        <v>2447.5440702015931</v>
      </c>
      <c r="K30" s="1">
        <f t="shared" si="4"/>
        <v>1963.0917526008791</v>
      </c>
      <c r="L30" s="1">
        <f t="shared" si="5"/>
        <v>2</v>
      </c>
      <c r="N30" t="s">
        <v>13</v>
      </c>
      <c r="O30" t="s">
        <v>13</v>
      </c>
      <c r="Q30" t="s">
        <v>13</v>
      </c>
      <c r="R30" t="s">
        <v>13</v>
      </c>
    </row>
    <row r="31" spans="1:18" x14ac:dyDescent="0.35">
      <c r="A31" s="2">
        <v>99.83723322460034</v>
      </c>
      <c r="B31" s="2">
        <v>72.450309121018918</v>
      </c>
      <c r="C31" s="2">
        <v>1</v>
      </c>
      <c r="J31" s="1">
        <f t="shared" si="3"/>
        <v>2988.5555761427295</v>
      </c>
      <c r="K31" s="1">
        <f t="shared" si="4"/>
        <v>1906.0074444703423</v>
      </c>
      <c r="L31" s="1">
        <f t="shared" si="5"/>
        <v>2</v>
      </c>
      <c r="N31" t="s">
        <v>13</v>
      </c>
      <c r="O31" t="s">
        <v>13</v>
      </c>
      <c r="Q31" t="s">
        <v>13</v>
      </c>
      <c r="R31" t="s">
        <v>13</v>
      </c>
    </row>
  </sheetData>
  <sortState ref="Q2:R31">
    <sortCondition ref="Q2"/>
  </sortState>
  <conditionalFormatting sqref="E6:G6">
    <cfRule type="expression" dxfId="1" priority="1">
      <formula>$H$6=0</formula>
    </cfRule>
    <cfRule type="expression" dxfId="0" priority="2">
      <formula>$H$6=1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8065F0AA-A843-4143-943F-3045B1BFB45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afficLights1" iconId="0"/>
              <x14:cfIcon iconSet="3TrafficLights1" iconId="2"/>
            </x14:iconSet>
          </x14:cfRule>
          <xm:sqref>H6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k_means3D</vt:lpstr>
      <vt:lpstr>k_means2D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Monteiro</dc:creator>
  <cp:lastModifiedBy>Rafael Monteiro</cp:lastModifiedBy>
  <dcterms:created xsi:type="dcterms:W3CDTF">2021-08-11T20:47:20Z</dcterms:created>
  <dcterms:modified xsi:type="dcterms:W3CDTF">2021-08-11T23:11:28Z</dcterms:modified>
</cp:coreProperties>
</file>